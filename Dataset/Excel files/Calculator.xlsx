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" sheetId="1" r:id="rId4"/>
    <sheet state="visible" name="r to OR" sheetId="2" r:id="rId5"/>
    <sheet state="visible" name="de r a d OR" sheetId="3" r:id="rId6"/>
    <sheet state="visible" name="Calculator" sheetId="4" r:id="rId7"/>
  </sheets>
  <definedNames/>
  <calcPr/>
  <extLst>
    <ext uri="GoogleSheetsCustomDataVersion2">
      <go:sheetsCustomData xmlns:go="http://customooxmlschemas.google.com/" r:id="rId8" roundtripDataChecksum="V/VQhmwZXjX/njlKxRCqmyAfeWft4jI+8zW13tvO3B8="/>
    </ext>
  </extLst>
</workbook>
</file>

<file path=xl/sharedStrings.xml><?xml version="1.0" encoding="utf-8"?>
<sst xmlns="http://schemas.openxmlformats.org/spreadsheetml/2006/main" count="128" uniqueCount="66">
  <si>
    <t>*The odds ratio (OR), its standard error and 95% confidence interval are calculated according to Altman, 1991.</t>
  </si>
  <si>
    <t>Altman DG (1991) Practical statistics for medical research. London: Chapman and Hall.</t>
  </si>
  <si>
    <t>Prevalence of depression and anxiety, and attitudes toward seeking help among first-year pharmacy, medical, and nursing students at a Nigerian university</t>
  </si>
  <si>
    <t>Anosike</t>
  </si>
  <si>
    <t>Depression</t>
  </si>
  <si>
    <t>YES</t>
  </si>
  <si>
    <t>NO</t>
  </si>
  <si>
    <t>Healthy</t>
  </si>
  <si>
    <t>OR</t>
  </si>
  <si>
    <t xml:space="preserve">Unhealthy </t>
  </si>
  <si>
    <t>se(OR)</t>
  </si>
  <si>
    <t>ln(OR)</t>
  </si>
  <si>
    <t>95% IC</t>
  </si>
  <si>
    <t>Anxiety</t>
  </si>
  <si>
    <t>Correlates of depression among school going adolescents in the urban area of Patna in eastern India</t>
  </si>
  <si>
    <t>Bharati</t>
  </si>
  <si>
    <t>Depression (n)</t>
  </si>
  <si>
    <t>Vegetarian</t>
  </si>
  <si>
    <t>Non‑vegetarian</t>
  </si>
  <si>
    <t>A sad heart: Depression and favorable cardiovascular health in Brazil</t>
  </si>
  <si>
    <t>Bousquet-Santos</t>
  </si>
  <si>
    <t>Healthy diet</t>
  </si>
  <si>
    <t>Are dietary patterns differently associated with differentiated levels of mental health problems? Results from a large cross-sectional study among Iranian manufacturing employees</t>
  </si>
  <si>
    <t>Heidari et al.</t>
  </si>
  <si>
    <t>Anxiety (n)</t>
  </si>
  <si>
    <t>Depresion (n)</t>
  </si>
  <si>
    <t>Moderate</t>
  </si>
  <si>
    <t>Poor</t>
  </si>
  <si>
    <t>https://www.medcalc.org/calc/odds_ratio.php</t>
  </si>
  <si>
    <t>ID</t>
  </si>
  <si>
    <t>Title</t>
  </si>
  <si>
    <t>Author</t>
  </si>
  <si>
    <t>Year</t>
  </si>
  <si>
    <t>MH Depr r</t>
  </si>
  <si>
    <t>MH Depr d</t>
  </si>
  <si>
    <t>MH Depr log OR</t>
  </si>
  <si>
    <t>MH Depr OR</t>
  </si>
  <si>
    <t>MH Anx r</t>
  </si>
  <si>
    <t>MH Anx d</t>
  </si>
  <si>
    <t>MH Anx log OR</t>
  </si>
  <si>
    <t>MH Anx OR</t>
  </si>
  <si>
    <t>MH Stress r</t>
  </si>
  <si>
    <t>MH Stress d</t>
  </si>
  <si>
    <t>MH Stress log OR</t>
  </si>
  <si>
    <t>MH Stress OR</t>
  </si>
  <si>
    <t>Food insecurity, Mediterranean diet adherence, and psychosocial health among university students in Turkiye</t>
  </si>
  <si>
    <t xml:space="preserve">Esin </t>
  </si>
  <si>
    <t>calculator: https://www.escal.site/</t>
  </si>
  <si>
    <t>r</t>
  </si>
  <si>
    <t>n1</t>
  </si>
  <si>
    <t>d</t>
  </si>
  <si>
    <t>n2</t>
  </si>
  <si>
    <t>log OR</t>
  </si>
  <si>
    <t>a</t>
  </si>
  <si>
    <t>Odd's Ratio</t>
  </si>
  <si>
    <t>Converting from d to r</t>
  </si>
  <si>
    <t>Log OR</t>
  </si>
  <si>
    <t>df</t>
  </si>
  <si>
    <t>Converting from r to d</t>
  </si>
  <si>
    <t>J</t>
  </si>
  <si>
    <t>g</t>
  </si>
  <si>
    <t xml:space="preserve">             </t>
  </si>
  <si>
    <t>Converting from d to g</t>
  </si>
  <si>
    <t>Converting from the Log Odds ratio to d</t>
  </si>
  <si>
    <t>Converting from d to the log odds ratio</t>
  </si>
  <si>
    <t>https://meta-analysis.com/download/Meta-analysis%20Converting%20among%20effect%20sizes.pdf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</si>
</sst>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1.0"/>
      <color theme="1"/>
      <name val="Aptos Narrow"/>
      <scheme val="minor"/>
    </font>
    <font>
      <color theme="1"/>
      <name val="Aptos Narrow"/>
      <scheme val="minor"/>
    </font>
    <font>
      <sz val="10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b/>
      <sz val="10.0"/>
      <color theme="1"/>
      <name val="Arial"/>
    </font>
    <font>
      <b/>
      <sz val="10.0"/>
      <color rgb="FF000000"/>
      <name val="Roboto"/>
    </font>
    <font>
      <sz val="10.0"/>
      <color theme="1"/>
      <name val="Calibri"/>
    </font>
    <font>
      <sz val="19.0"/>
      <color theme="1"/>
      <name val="Calibri"/>
    </font>
    <font>
      <u/>
      <sz val="11.0"/>
      <color theme="1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C000"/>
        <bgColor rgb="FFFFC000"/>
      </patternFill>
    </fill>
  </fills>
  <borders count="10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1" fillId="2" fontId="4" numFmtId="0" xfId="0" applyBorder="1" applyFill="1" applyFont="1"/>
    <xf borderId="1" fillId="2" fontId="4" numFmtId="164" xfId="0" applyBorder="1" applyFont="1" applyNumberFormat="1"/>
    <xf borderId="0" fillId="0" fontId="4" numFmtId="164" xfId="0" applyFont="1" applyNumberFormat="1"/>
    <xf borderId="1" fillId="3" fontId="5" numFmtId="0" xfId="0" applyAlignment="1" applyBorder="1" applyFill="1" applyFont="1">
      <alignment shrinkToFit="0" wrapText="1"/>
    </xf>
    <xf borderId="1" fillId="3" fontId="6" numFmtId="0" xfId="0" applyBorder="1" applyFont="1"/>
    <xf borderId="2" fillId="0" fontId="4" numFmtId="0" xfId="0" applyBorder="1" applyFont="1"/>
    <xf borderId="3" fillId="0" fontId="4" numFmtId="0" xfId="0" applyBorder="1" applyFont="1"/>
    <xf borderId="3" fillId="0" fontId="4" numFmtId="164" xfId="0" applyBorder="1" applyFont="1" applyNumberFormat="1"/>
    <xf borderId="4" fillId="0" fontId="4" numFmtId="164" xfId="0" applyBorder="1" applyFont="1" applyNumberFormat="1"/>
    <xf borderId="5" fillId="0" fontId="4" numFmtId="0" xfId="0" applyBorder="1" applyFont="1"/>
    <xf borderId="6" fillId="0" fontId="4" numFmtId="164" xfId="0" applyBorder="1" applyFont="1" applyNumberFormat="1"/>
    <xf borderId="7" fillId="0" fontId="4" numFmtId="0" xfId="0" applyBorder="1" applyFont="1"/>
    <xf borderId="8" fillId="0" fontId="4" numFmtId="0" xfId="0" applyBorder="1" applyFont="1"/>
    <xf borderId="8" fillId="0" fontId="4" numFmtId="164" xfId="0" applyBorder="1" applyFont="1" applyNumberFormat="1"/>
    <xf borderId="9" fillId="0" fontId="4" numFmtId="164" xfId="0" applyBorder="1" applyFont="1" applyNumberFormat="1"/>
    <xf borderId="1" fillId="4" fontId="4" numFmtId="164" xfId="0" applyBorder="1" applyFill="1" applyFont="1" applyNumberFormat="1"/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8</xdr:row>
      <xdr:rowOff>57150</xdr:rowOff>
    </xdr:from>
    <xdr:ext cx="1828800" cy="457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6</xdr:row>
      <xdr:rowOff>76200</xdr:rowOff>
    </xdr:from>
    <xdr:ext cx="1609725" cy="4381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3</xdr:row>
      <xdr:rowOff>38100</xdr:rowOff>
    </xdr:from>
    <xdr:ext cx="923925" cy="4000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0</xdr:row>
      <xdr:rowOff>19050</xdr:rowOff>
    </xdr:from>
    <xdr:ext cx="1009650" cy="4667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381000</xdr:colOff>
      <xdr:row>0</xdr:row>
      <xdr:rowOff>38100</xdr:rowOff>
    </xdr:from>
    <xdr:ext cx="1000125" cy="4381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428625</xdr:colOff>
      <xdr:row>5</xdr:row>
      <xdr:rowOff>266700</xdr:rowOff>
    </xdr:from>
    <xdr:ext cx="762000" cy="1428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5</xdr:row>
      <xdr:rowOff>257175</xdr:rowOff>
    </xdr:from>
    <xdr:ext cx="1038225" cy="28575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eta-analysis.com/download/Meta-analysis%20Converting%20among%20effect%20sizes.pdf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</row>
    <row r="2">
      <c r="A2" s="1" t="s">
        <v>1</v>
      </c>
    </row>
    <row r="4">
      <c r="A4" s="2">
        <v>9.4883543E7</v>
      </c>
      <c r="B4" s="2" t="s">
        <v>2</v>
      </c>
      <c r="C4" s="2" t="s">
        <v>3</v>
      </c>
      <c r="D4" s="3">
        <v>2022.0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6">
      <c r="C6" s="1" t="s">
        <v>4</v>
      </c>
    </row>
    <row r="7">
      <c r="C7" s="1" t="s">
        <v>5</v>
      </c>
      <c r="D7" s="1" t="s">
        <v>6</v>
      </c>
    </row>
    <row r="8">
      <c r="A8" s="1" t="s">
        <v>7</v>
      </c>
      <c r="B8" s="1" t="s">
        <v>5</v>
      </c>
      <c r="C8" s="5">
        <v>328.0</v>
      </c>
      <c r="D8" s="5">
        <v>127.0</v>
      </c>
      <c r="F8" s="1" t="s">
        <v>8</v>
      </c>
      <c r="G8" s="6">
        <f>(C8*D9)/(D8*C9)</f>
        <v>1.533464567</v>
      </c>
    </row>
    <row r="9">
      <c r="A9" s="1" t="s">
        <v>9</v>
      </c>
      <c r="B9" s="1" t="s">
        <v>6</v>
      </c>
      <c r="C9" s="5">
        <v>32.0</v>
      </c>
      <c r="D9" s="5">
        <v>19.0</v>
      </c>
      <c r="F9" s="1" t="s">
        <v>10</v>
      </c>
      <c r="G9" s="7">
        <f>SQRT((1/C8)+(1/D8)+(1/C9)+(1/D9))</f>
        <v>0.3079031913</v>
      </c>
    </row>
    <row r="10">
      <c r="F10" s="1" t="s">
        <v>11</v>
      </c>
      <c r="G10" s="7">
        <f>LN(G8)</f>
        <v>0.4275295983</v>
      </c>
      <c r="H10" s="7"/>
    </row>
    <row r="11">
      <c r="F11" s="1" t="s">
        <v>12</v>
      </c>
      <c r="G11" s="7">
        <f>EXP(G10-(1.96*G9))</f>
        <v>0.8386509781</v>
      </c>
      <c r="H11" s="7">
        <f>EXP(G10+(1.96*G9))</f>
        <v>2.803923968</v>
      </c>
    </row>
    <row r="12">
      <c r="G12" s="7"/>
      <c r="H12" s="7"/>
    </row>
    <row r="13">
      <c r="C13" s="1" t="s">
        <v>13</v>
      </c>
    </row>
    <row r="14">
      <c r="C14" s="1" t="s">
        <v>5</v>
      </c>
      <c r="D14" s="1" t="s">
        <v>6</v>
      </c>
    </row>
    <row r="15">
      <c r="A15" s="1" t="s">
        <v>7</v>
      </c>
      <c r="B15" s="1" t="s">
        <v>5</v>
      </c>
      <c r="C15" s="5">
        <v>245.0</v>
      </c>
      <c r="D15" s="5">
        <v>164.0</v>
      </c>
      <c r="F15" s="1" t="s">
        <v>8</v>
      </c>
      <c r="G15" s="6">
        <f>(C15*D16)/(D15*C16)</f>
        <v>0.6879813864</v>
      </c>
    </row>
    <row r="16">
      <c r="A16" s="1" t="s">
        <v>9</v>
      </c>
      <c r="B16" s="1" t="s">
        <v>6</v>
      </c>
      <c r="C16" s="5">
        <v>76.0</v>
      </c>
      <c r="D16" s="5">
        <v>35.0</v>
      </c>
      <c r="F16" s="1" t="s">
        <v>10</v>
      </c>
      <c r="G16" s="7">
        <f>SQRT((1/C15)+(1/D15)+(1/C16)+(1/D16))</f>
        <v>0.2278344068</v>
      </c>
    </row>
    <row r="17">
      <c r="F17" s="1" t="s">
        <v>11</v>
      </c>
      <c r="G17" s="7">
        <f>LN(G15)</f>
        <v>-0.3739934961</v>
      </c>
      <c r="H17" s="7"/>
    </row>
    <row r="18">
      <c r="F18" s="1" t="s">
        <v>12</v>
      </c>
      <c r="G18" s="7">
        <f>EXP(G17-(1.96*G16))</f>
        <v>0.4401899532</v>
      </c>
      <c r="H18" s="7">
        <f>EXP(G17+(1.96*G16))</f>
        <v>1.075259407</v>
      </c>
    </row>
    <row r="19">
      <c r="G19" s="7"/>
      <c r="H19" s="7"/>
    </row>
    <row r="20">
      <c r="A20" s="2">
        <v>9.4884594E7</v>
      </c>
      <c r="B20" s="2" t="s">
        <v>14</v>
      </c>
      <c r="C20" s="2" t="s">
        <v>15</v>
      </c>
      <c r="D20" s="3">
        <v>2022.0</v>
      </c>
      <c r="G20" s="7"/>
      <c r="H20" s="7"/>
    </row>
    <row r="21" ht="15.75" customHeight="1">
      <c r="G21" s="7"/>
      <c r="H21" s="7"/>
    </row>
    <row r="22" ht="15.75" customHeight="1">
      <c r="C22" s="1" t="s">
        <v>16</v>
      </c>
    </row>
    <row r="23" ht="15.75" customHeight="1">
      <c r="C23" s="1" t="s">
        <v>5</v>
      </c>
      <c r="D23" s="1" t="s">
        <v>6</v>
      </c>
    </row>
    <row r="24" ht="15.75" customHeight="1">
      <c r="A24" s="1" t="s">
        <v>17</v>
      </c>
      <c r="B24" s="1" t="s">
        <v>5</v>
      </c>
      <c r="C24" s="5">
        <v>167.0</v>
      </c>
      <c r="D24" s="5">
        <v>89.0</v>
      </c>
      <c r="F24" s="1" t="s">
        <v>8</v>
      </c>
      <c r="G24" s="6">
        <f>(C24*D25)/(D24*C25)</f>
        <v>2.291791749</v>
      </c>
    </row>
    <row r="25" ht="15.75" customHeight="1">
      <c r="A25" s="1" t="s">
        <v>18</v>
      </c>
      <c r="B25" s="1" t="s">
        <v>6</v>
      </c>
      <c r="C25" s="5">
        <v>262.0</v>
      </c>
      <c r="D25" s="5">
        <v>320.0</v>
      </c>
      <c r="F25" s="1" t="s">
        <v>10</v>
      </c>
      <c r="G25" s="7">
        <f>SQRT((1/C24)+(1/D24)+(1/C25)+(1/D25))</f>
        <v>0.1554534429</v>
      </c>
    </row>
    <row r="26" ht="15.75" customHeight="1">
      <c r="F26" s="1" t="s">
        <v>11</v>
      </c>
      <c r="G26" s="7">
        <f>LN(G24)</f>
        <v>0.8293339347</v>
      </c>
      <c r="H26" s="7"/>
    </row>
    <row r="27" ht="15.75" customHeight="1">
      <c r="F27" s="1" t="s">
        <v>12</v>
      </c>
      <c r="G27" s="7">
        <f>EXP(G26-(1.96*G25))</f>
        <v>1.689859157</v>
      </c>
      <c r="H27" s="7">
        <f>EXP(G26+(1.96*G25))</f>
        <v>3.108134425</v>
      </c>
    </row>
    <row r="28" ht="15.75" customHeight="1"/>
    <row r="29" ht="15.75" customHeight="1">
      <c r="A29" s="2">
        <v>9.4884945E7</v>
      </c>
      <c r="B29" s="2" t="s">
        <v>19</v>
      </c>
      <c r="C29" s="2" t="s">
        <v>20</v>
      </c>
      <c r="D29" s="3">
        <v>2021.0</v>
      </c>
    </row>
    <row r="30" ht="15.75" customHeight="1"/>
    <row r="31" ht="15.75" customHeight="1">
      <c r="C31" s="1" t="s">
        <v>16</v>
      </c>
    </row>
    <row r="32" ht="15.75" customHeight="1">
      <c r="C32" s="1" t="s">
        <v>5</v>
      </c>
      <c r="D32" s="1" t="s">
        <v>6</v>
      </c>
    </row>
    <row r="33" ht="15.75" customHeight="1">
      <c r="A33" s="1" t="s">
        <v>21</v>
      </c>
      <c r="B33" s="1" t="s">
        <v>5</v>
      </c>
      <c r="C33" s="5">
        <v>1387.0</v>
      </c>
      <c r="D33" s="5">
        <v>12677.0</v>
      </c>
      <c r="F33" s="1" t="s">
        <v>8</v>
      </c>
      <c r="G33" s="6">
        <f>(C33*D34)/(D33*C34)</f>
        <v>0.8904264878</v>
      </c>
    </row>
    <row r="34" ht="15.75" customHeight="1">
      <c r="B34" s="1" t="s">
        <v>6</v>
      </c>
      <c r="C34" s="5">
        <v>3895.0</v>
      </c>
      <c r="D34" s="5">
        <v>31699.0</v>
      </c>
      <c r="F34" s="1" t="s">
        <v>10</v>
      </c>
      <c r="G34" s="7">
        <f>SQRT((1/C33)+(1/D33)+(1/C34)+(1/D34))</f>
        <v>0.03298711409</v>
      </c>
    </row>
    <row r="35" ht="15.75" customHeight="1">
      <c r="F35" s="1" t="s">
        <v>11</v>
      </c>
      <c r="G35" s="7">
        <f>LN(G33)</f>
        <v>-0.1160547313</v>
      </c>
      <c r="H35" s="7"/>
    </row>
    <row r="36" ht="15.75" customHeight="1">
      <c r="F36" s="1" t="s">
        <v>12</v>
      </c>
      <c r="G36" s="7">
        <f>EXP(G35-(1.96*G34))</f>
        <v>0.8346778183</v>
      </c>
      <c r="H36" s="7">
        <f>EXP(G35+(1.96*G34))</f>
        <v>0.9498986468</v>
      </c>
    </row>
    <row r="37" ht="15.75" customHeight="1"/>
    <row r="38" ht="15.75" customHeight="1"/>
    <row r="39" ht="15.75" customHeight="1">
      <c r="A39" s="3">
        <v>4.9969885E7</v>
      </c>
      <c r="B39" s="2" t="s">
        <v>22</v>
      </c>
      <c r="C39" s="2" t="s">
        <v>23</v>
      </c>
      <c r="D39" s="3"/>
    </row>
    <row r="40" ht="15.75" customHeight="1"/>
    <row r="41" ht="15.75" customHeight="1"/>
    <row r="42" ht="15.75" customHeight="1">
      <c r="C42" s="1" t="s">
        <v>16</v>
      </c>
    </row>
    <row r="43" ht="15.75" customHeight="1">
      <c r="C43" s="1" t="s">
        <v>5</v>
      </c>
      <c r="D43" s="1" t="s">
        <v>6</v>
      </c>
    </row>
    <row r="44" ht="15.75" customHeight="1">
      <c r="A44" s="1" t="s">
        <v>21</v>
      </c>
      <c r="B44" s="1" t="s">
        <v>5</v>
      </c>
      <c r="C44" s="5">
        <v>43.0</v>
      </c>
      <c r="D44" s="5">
        <f>90+64</f>
        <v>154</v>
      </c>
      <c r="F44" s="1" t="s">
        <v>8</v>
      </c>
      <c r="G44" s="6">
        <f>(C44*D45)/(D44*C45)</f>
        <v>0.5052838666</v>
      </c>
    </row>
    <row r="45" ht="15.75" customHeight="1">
      <c r="B45" s="1" t="s">
        <v>6</v>
      </c>
      <c r="C45" s="5">
        <v>977.0</v>
      </c>
      <c r="D45" s="5">
        <f>908+860</f>
        <v>1768</v>
      </c>
      <c r="F45" s="1" t="s">
        <v>10</v>
      </c>
      <c r="G45" s="7">
        <f>SQRT((1/C44)+(1/D44)+(1/C45)+(1/D45))</f>
        <v>0.1770267572</v>
      </c>
    </row>
    <row r="46" ht="15.75" customHeight="1">
      <c r="F46" s="1" t="s">
        <v>11</v>
      </c>
      <c r="G46" s="7">
        <f>LN(G44)</f>
        <v>-0.6826348956</v>
      </c>
      <c r="H46" s="7"/>
    </row>
    <row r="47" ht="15.75" customHeight="1">
      <c r="F47" s="1" t="s">
        <v>12</v>
      </c>
      <c r="G47" s="7">
        <f>EXP(G46-(1.96*G45))</f>
        <v>0.3571471706</v>
      </c>
      <c r="H47" s="7">
        <f>EXP(G46+(1.96*G45))</f>
        <v>0.7148643665</v>
      </c>
    </row>
    <row r="48" ht="15.75" customHeight="1"/>
    <row r="49" ht="15.75" customHeight="1"/>
    <row r="50" ht="15.75" customHeight="1">
      <c r="C50" s="1" t="s">
        <v>24</v>
      </c>
    </row>
    <row r="51" ht="15.75" customHeight="1">
      <c r="C51" s="1" t="s">
        <v>5</v>
      </c>
      <c r="D51" s="1" t="s">
        <v>6</v>
      </c>
    </row>
    <row r="52" ht="15.75" customHeight="1">
      <c r="A52" s="1" t="s">
        <v>21</v>
      </c>
      <c r="B52" s="1" t="s">
        <v>5</v>
      </c>
      <c r="C52" s="5">
        <v>77.0</v>
      </c>
      <c r="D52" s="5">
        <f>93+93</f>
        <v>186</v>
      </c>
      <c r="F52" s="1" t="s">
        <v>8</v>
      </c>
      <c r="G52" s="6">
        <f>(C52*D53)/(D52*C53)</f>
        <v>0.7621067515</v>
      </c>
    </row>
    <row r="53" ht="15.75" customHeight="1">
      <c r="B53" s="1" t="s">
        <v>6</v>
      </c>
      <c r="C53" s="5">
        <v>943.0</v>
      </c>
      <c r="D53" s="5">
        <f>857+879</f>
        <v>1736</v>
      </c>
      <c r="F53" s="1" t="s">
        <v>10</v>
      </c>
      <c r="G53" s="7">
        <f>SQRT((1/C52)+(1/D52)+(1/C53)+(1/D53))</f>
        <v>0.1414207882</v>
      </c>
    </row>
    <row r="54" ht="15.75" customHeight="1">
      <c r="F54" s="1" t="s">
        <v>11</v>
      </c>
      <c r="G54" s="7">
        <f>LN(G52)</f>
        <v>-0.2716686393</v>
      </c>
      <c r="H54" s="7"/>
    </row>
    <row r="55" ht="15.75" customHeight="1">
      <c r="F55" s="1" t="s">
        <v>12</v>
      </c>
      <c r="G55" s="7">
        <f>EXP(G54-(1.96*G53))</f>
        <v>0.5776117296</v>
      </c>
      <c r="H55" s="7">
        <f>EXP(G54+(1.96*G53))</f>
        <v>1.005531347</v>
      </c>
    </row>
    <row r="56" ht="15.75" customHeight="1">
      <c r="G56" s="7"/>
      <c r="H56" s="7"/>
    </row>
    <row r="57" ht="15.75" customHeight="1">
      <c r="G57" s="7"/>
      <c r="H57" s="7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C69" s="1" t="s">
        <v>25</v>
      </c>
    </row>
    <row r="70" ht="15.75" customHeight="1">
      <c r="C70" s="1" t="s">
        <v>5</v>
      </c>
      <c r="D70" s="1" t="s">
        <v>6</v>
      </c>
    </row>
    <row r="71" ht="15.75" customHeight="1">
      <c r="A71" s="1" t="s">
        <v>26</v>
      </c>
      <c r="B71" s="1" t="s">
        <v>5</v>
      </c>
      <c r="C71" s="5">
        <v>10.15</v>
      </c>
      <c r="D71" s="5">
        <v>33.84</v>
      </c>
      <c r="F71" s="1" t="s">
        <v>8</v>
      </c>
      <c r="G71" s="6">
        <f>(C71*D72)/(D71*C72)</f>
        <v>0.1588419405</v>
      </c>
    </row>
    <row r="72" ht="15.75" customHeight="1">
      <c r="A72" s="1" t="s">
        <v>27</v>
      </c>
      <c r="B72" s="1" t="s">
        <v>6</v>
      </c>
      <c r="C72" s="5">
        <v>24.85</v>
      </c>
      <c r="D72" s="5">
        <v>13.16</v>
      </c>
      <c r="F72" s="1" t="s">
        <v>10</v>
      </c>
      <c r="G72" s="7">
        <f>SQRT((1/C71)+(1/D71)+(1/C72)+(1/D72))</f>
        <v>0.4942694463</v>
      </c>
    </row>
    <row r="73" ht="15.75" customHeight="1">
      <c r="F73" s="1" t="s">
        <v>11</v>
      </c>
      <c r="G73" s="7">
        <f>LN(G71)</f>
        <v>-1.839845656</v>
      </c>
      <c r="H73" s="7"/>
    </row>
    <row r="74" ht="15.75" customHeight="1">
      <c r="F74" s="1" t="s">
        <v>12</v>
      </c>
      <c r="G74" s="7">
        <f>EXP(G73-(1.96*G72))</f>
        <v>0.06028850819</v>
      </c>
      <c r="H74" s="7">
        <f>EXP(G73+(1.96*G72))</f>
        <v>0.4185003549</v>
      </c>
    </row>
    <row r="75" ht="15.75" customHeight="1">
      <c r="A75" s="1" t="s">
        <v>28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63"/>
    <col customWidth="1" min="7" max="7" width="14.13"/>
    <col customWidth="1" min="8" max="14" width="10.63"/>
    <col customWidth="1" min="15" max="15" width="15.75"/>
    <col customWidth="1" min="16" max="16" width="15.88"/>
    <col customWidth="1" min="17" max="26" width="10.63"/>
  </cols>
  <sheetData>
    <row r="1">
      <c r="A1" s="8" t="s">
        <v>29</v>
      </c>
      <c r="B1" s="8" t="s">
        <v>30</v>
      </c>
      <c r="C1" s="8" t="s">
        <v>31</v>
      </c>
      <c r="D1" s="8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</row>
    <row r="2">
      <c r="A2" s="2">
        <v>9.4887825E7</v>
      </c>
      <c r="B2" s="2" t="s">
        <v>45</v>
      </c>
      <c r="C2" s="2" t="s">
        <v>46</v>
      </c>
      <c r="D2" s="3">
        <v>2024.0</v>
      </c>
      <c r="E2" s="1">
        <v>-0.148</v>
      </c>
      <c r="F2" s="1">
        <f>(2*E2)/(SQRT(1-(E2*E2)))</f>
        <v>-0.2992960393</v>
      </c>
      <c r="G2" s="1">
        <f>F2*PI()/SQRT(3)</f>
        <v>-0.5428629657</v>
      </c>
      <c r="H2" s="1">
        <f>EXP(F2*(PI()/SQRT(3)))</f>
        <v>0.5810822501</v>
      </c>
      <c r="I2" s="1">
        <v>-0.116</v>
      </c>
      <c r="J2" s="1">
        <f>(2*I2)/(SQRT(1-(I2*I2)))</f>
        <v>-0.2335768273</v>
      </c>
      <c r="K2" s="1">
        <f>J2*PI()/SQRT(3)</f>
        <v>-0.4236615009</v>
      </c>
      <c r="L2" s="1">
        <f>EXP(J2*(PI()/SQRT(3)))</f>
        <v>0.6546454413</v>
      </c>
      <c r="M2" s="1">
        <v>-0.122</v>
      </c>
      <c r="N2" s="1">
        <f>(2*M2)/(SQRT(1-(M2*M2)))</f>
        <v>-0.245836373</v>
      </c>
      <c r="O2" s="1">
        <f>N2*PI()/SQRT(3)</f>
        <v>-0.4458978571</v>
      </c>
      <c r="P2" s="1">
        <f>EXP(N2*(PI()/SQRT(3)))</f>
        <v>0.6402491656</v>
      </c>
    </row>
    <row r="16">
      <c r="A16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5" t="s">
        <v>48</v>
      </c>
      <c r="B1" s="5">
        <v>-0.0017</v>
      </c>
      <c r="F1" s="1" t="s">
        <v>49</v>
      </c>
      <c r="G1" s="1">
        <v>40.0</v>
      </c>
    </row>
    <row r="2">
      <c r="A2" s="10" t="s">
        <v>50</v>
      </c>
      <c r="B2" s="11"/>
      <c r="C2" s="12">
        <f>(2*B1)/(SQRT(1-(B1*B1)))</f>
        <v>-0.003400004913</v>
      </c>
      <c r="D2" s="13">
        <f>SQRT(((-1)*(B1*B1)*G4)/((B1*B1)-1))</f>
        <v>0.003400004913</v>
      </c>
      <c r="F2" s="1" t="s">
        <v>51</v>
      </c>
      <c r="G2" s="1">
        <v>40.0</v>
      </c>
    </row>
    <row r="3">
      <c r="A3" s="14" t="s">
        <v>52</v>
      </c>
      <c r="C3" s="7">
        <f t="shared" ref="C3:D3" si="1">C2*PI()/SQRT(3)</f>
        <v>-0.00616692675</v>
      </c>
      <c r="D3" s="15">
        <f t="shared" si="1"/>
        <v>0.00616692675</v>
      </c>
    </row>
    <row r="4">
      <c r="A4" s="16" t="s">
        <v>8</v>
      </c>
      <c r="B4" s="17"/>
      <c r="C4" s="18">
        <f>EXP(C2*(PI()/SQRT(3)))</f>
        <v>0.9938520497</v>
      </c>
      <c r="D4" s="19">
        <f>EXP(C3)</f>
        <v>0.9938520497</v>
      </c>
      <c r="F4" s="1" t="s">
        <v>53</v>
      </c>
      <c r="G4" s="1">
        <f>SUM(G1:G2)^2/(G1*G2)</f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54</v>
      </c>
      <c r="B1" s="20">
        <v>0.159</v>
      </c>
      <c r="D1" s="1" t="s">
        <v>49</v>
      </c>
      <c r="E1" s="1">
        <v>40.0</v>
      </c>
      <c r="G1" s="21" t="s">
        <v>55</v>
      </c>
    </row>
    <row r="2">
      <c r="A2" s="1" t="s">
        <v>56</v>
      </c>
      <c r="B2" s="7">
        <f>LN(B1)</f>
        <v>-1.838851077</v>
      </c>
      <c r="D2" s="1" t="s">
        <v>51</v>
      </c>
      <c r="E2" s="1">
        <v>40.0</v>
      </c>
    </row>
    <row r="3">
      <c r="A3" s="5" t="s">
        <v>50</v>
      </c>
      <c r="B3" s="6">
        <f>B2*SQRT(3)/PI()</f>
        <v>-1.013811733</v>
      </c>
      <c r="D3" s="1" t="s">
        <v>53</v>
      </c>
      <c r="E3" s="7">
        <f>SUM(E1:E2)^2/(E1*E2)</f>
        <v>4</v>
      </c>
    </row>
    <row r="4">
      <c r="A4" s="5" t="s">
        <v>48</v>
      </c>
      <c r="B4" s="6">
        <f>B3/SQRT(B3^2+E3)</f>
        <v>-0.4521345569</v>
      </c>
      <c r="D4" s="1" t="s">
        <v>57</v>
      </c>
      <c r="E4" s="1">
        <f>SUM(E1:E2)-2</f>
        <v>78</v>
      </c>
      <c r="G4" s="21" t="s">
        <v>58</v>
      </c>
    </row>
    <row r="5">
      <c r="D5" s="1" t="s">
        <v>59</v>
      </c>
      <c r="E5" s="7">
        <f>1-3/(4*E4-1)</f>
        <v>0.9903536977</v>
      </c>
    </row>
    <row r="6">
      <c r="A6" s="1" t="s">
        <v>60</v>
      </c>
      <c r="B6" s="7">
        <f>B3*E5</f>
        <v>-1.004032199</v>
      </c>
      <c r="G6" s="22" t="s">
        <v>61</v>
      </c>
    </row>
    <row r="7">
      <c r="G7" s="21" t="s">
        <v>62</v>
      </c>
    </row>
    <row r="8">
      <c r="A8" s="21" t="s">
        <v>63</v>
      </c>
    </row>
    <row r="10">
      <c r="A10" s="21" t="s">
        <v>64</v>
      </c>
    </row>
    <row r="13">
      <c r="A13" s="23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2024-11-29T04:35:29Z</dcterms:created>
  <dc:creator>Gladys G.</dc:creator>
</cp:coreProperties>
</file>